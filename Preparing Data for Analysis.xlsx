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F18E5C-872D-461C-9462-876ECF56737E}" xr6:coauthVersionLast="47" xr6:coauthVersionMax="47" xr10:uidLastSave="{00000000-0000-0000-0000-000000000000}"/>
  <bookViews>
    <workbookView xWindow="-120" yWindow="-120" windowWidth="20730" windowHeight="11160" xr2:uid="{76F2D8FE-0054-4598-9C36-C1C28E4F078D}"/>
  </bookViews>
  <sheets>
    <sheet name="Summary" sheetId="1" r:id="rId1"/>
  </sheets>
  <definedNames>
    <definedName name="_xlnm._FilterDatabase" localSheetId="0" hidden="1">Summary!$F$1:$Y$246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Q3" i="1" s="1"/>
  <c r="P4" i="1"/>
  <c r="Q4" i="1" s="1"/>
  <c r="P5" i="1"/>
  <c r="Q5" i="1" s="1"/>
  <c r="P6" i="1"/>
  <c r="Q6" i="1" s="1"/>
  <c r="P7" i="1"/>
  <c r="Q7" i="1" s="1"/>
  <c r="R7" i="1" s="1"/>
  <c r="P8" i="1"/>
  <c r="Q8" i="1" s="1"/>
  <c r="P9" i="1"/>
  <c r="P10" i="1"/>
  <c r="Q10" i="1" s="1"/>
  <c r="P11" i="1"/>
  <c r="Q11" i="1" s="1"/>
  <c r="R11" i="1" s="1"/>
  <c r="P12" i="1"/>
  <c r="Q12" i="1" s="1"/>
  <c r="R12" i="1" s="1"/>
  <c r="P13" i="1"/>
  <c r="Q13" i="1" s="1"/>
  <c r="P14" i="1"/>
  <c r="Q14" i="1" s="1"/>
  <c r="R14" i="1" s="1"/>
  <c r="P15" i="1"/>
  <c r="Q15" i="1" s="1"/>
  <c r="P16" i="1"/>
  <c r="Q16" i="1" s="1"/>
  <c r="R16" i="1" s="1"/>
  <c r="P17" i="1"/>
  <c r="P18" i="1"/>
  <c r="Q18" i="1" s="1"/>
  <c r="P19" i="1"/>
  <c r="Q19" i="1" s="1"/>
  <c r="R19" i="1" s="1"/>
  <c r="P20" i="1"/>
  <c r="Q20" i="1" s="1"/>
  <c r="R20" i="1" s="1"/>
  <c r="P21" i="1"/>
  <c r="P22" i="1"/>
  <c r="Q22" i="1" s="1"/>
  <c r="P23" i="1"/>
  <c r="Q23" i="1" s="1"/>
  <c r="R23" i="1" s="1"/>
  <c r="P24" i="1"/>
  <c r="Q24" i="1" s="1"/>
  <c r="P25" i="1"/>
  <c r="Q25" i="1" s="1"/>
  <c r="P26" i="1"/>
  <c r="Q26" i="1" s="1"/>
  <c r="P27" i="1"/>
  <c r="Q27" i="1" s="1"/>
  <c r="R27" i="1" s="1"/>
  <c r="P28" i="1"/>
  <c r="Q28" i="1" s="1"/>
  <c r="P29" i="1"/>
  <c r="P30" i="1"/>
  <c r="Q30" i="1" s="1"/>
  <c r="P31" i="1"/>
  <c r="Q31" i="1" s="1"/>
  <c r="R31" i="1" s="1"/>
  <c r="P32" i="1"/>
  <c r="Q32" i="1" s="1"/>
  <c r="R32" i="1" s="1"/>
  <c r="P33" i="1"/>
  <c r="P34" i="1"/>
  <c r="Q34" i="1" s="1"/>
  <c r="R34" i="1" s="1"/>
  <c r="P35" i="1"/>
  <c r="Q35" i="1" s="1"/>
  <c r="P36" i="1"/>
  <c r="Q36" i="1" s="1"/>
  <c r="P37" i="1"/>
  <c r="P38" i="1"/>
  <c r="Q38" i="1" s="1"/>
  <c r="P39" i="1"/>
  <c r="Q39" i="1" s="1"/>
  <c r="P40" i="1"/>
  <c r="Q40" i="1" s="1"/>
  <c r="P41" i="1"/>
  <c r="Q41" i="1" s="1"/>
  <c r="P42" i="1"/>
  <c r="Q42" i="1" s="1"/>
  <c r="R42" i="1" s="1"/>
  <c r="P43" i="1"/>
  <c r="Q43" i="1" s="1"/>
  <c r="R43" i="1" s="1"/>
  <c r="P44" i="1"/>
  <c r="Q44" i="1" s="1"/>
  <c r="P45" i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R59" i="1" s="1"/>
  <c r="P60" i="1"/>
  <c r="Q60" i="1" s="1"/>
  <c r="P61" i="1"/>
  <c r="Q61" i="1" s="1"/>
  <c r="P62" i="1"/>
  <c r="Q62" i="1" s="1"/>
  <c r="R62" i="1" s="1"/>
  <c r="P63" i="1"/>
  <c r="Q63" i="1" s="1"/>
  <c r="P64" i="1"/>
  <c r="Q64" i="1" s="1"/>
  <c r="P65" i="1"/>
  <c r="Q65" i="1" s="1"/>
  <c r="P66" i="1"/>
  <c r="Q66" i="1" s="1"/>
  <c r="R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R91" i="1" s="1"/>
  <c r="P92" i="1"/>
  <c r="Q92" i="1" s="1"/>
  <c r="P93" i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P102" i="1"/>
  <c r="Q102" i="1" s="1"/>
  <c r="P103" i="1"/>
  <c r="Q103" i="1" s="1"/>
  <c r="R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R111" i="1" s="1"/>
  <c r="P112" i="1"/>
  <c r="Q112" i="1" s="1"/>
  <c r="P113" i="1"/>
  <c r="P114" i="1"/>
  <c r="Q114" i="1" s="1"/>
  <c r="P115" i="1"/>
  <c r="Q115" i="1" s="1"/>
  <c r="R115" i="1" s="1"/>
  <c r="P116" i="1"/>
  <c r="Q116" i="1" s="1"/>
  <c r="P117" i="1"/>
  <c r="P118" i="1"/>
  <c r="Q118" i="1" s="1"/>
  <c r="P119" i="1"/>
  <c r="Q119" i="1" s="1"/>
  <c r="P120" i="1"/>
  <c r="Q120" i="1" s="1"/>
  <c r="P121" i="1"/>
  <c r="Q121" i="1" s="1"/>
  <c r="P122" i="1"/>
  <c r="Q122" i="1" s="1"/>
  <c r="R122" i="1" s="1"/>
  <c r="P123" i="1"/>
  <c r="Q123" i="1" s="1"/>
  <c r="R123" i="1" s="1"/>
  <c r="P124" i="1"/>
  <c r="Q124" i="1" s="1"/>
  <c r="P125" i="1"/>
  <c r="Q125" i="1" s="1"/>
  <c r="P126" i="1"/>
  <c r="Q126" i="1" s="1"/>
  <c r="P127" i="1"/>
  <c r="Q127" i="1" s="1"/>
  <c r="R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R135" i="1" s="1"/>
  <c r="P136" i="1"/>
  <c r="Q136" i="1" s="1"/>
  <c r="P137" i="1"/>
  <c r="Q137" i="1" s="1"/>
  <c r="P138" i="1"/>
  <c r="Q138" i="1" s="1"/>
  <c r="P139" i="1"/>
  <c r="Q139" i="1" s="1"/>
  <c r="R139" i="1" s="1"/>
  <c r="P140" i="1"/>
  <c r="Q140" i="1" s="1"/>
  <c r="P141" i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P150" i="1"/>
  <c r="Q150" i="1" s="1"/>
  <c r="P151" i="1"/>
  <c r="Q151" i="1" s="1"/>
  <c r="R151" i="1" s="1"/>
  <c r="P152" i="1"/>
  <c r="Q152" i="1" s="1"/>
  <c r="P153" i="1"/>
  <c r="P154" i="1"/>
  <c r="Q154" i="1" s="1"/>
  <c r="P155" i="1"/>
  <c r="Q155" i="1" s="1"/>
  <c r="P156" i="1"/>
  <c r="Q156" i="1" s="1"/>
  <c r="P157" i="1"/>
  <c r="Q157" i="1" s="1"/>
  <c r="P158" i="1"/>
  <c r="Q158" i="1" s="1"/>
  <c r="R158" i="1" s="1"/>
  <c r="P159" i="1"/>
  <c r="Q159" i="1" s="1"/>
  <c r="R159" i="1" s="1"/>
  <c r="P160" i="1"/>
  <c r="Q160" i="1" s="1"/>
  <c r="P161" i="1"/>
  <c r="P162" i="1"/>
  <c r="Q162" i="1" s="1"/>
  <c r="P163" i="1"/>
  <c r="Q163" i="1" s="1"/>
  <c r="R163" i="1" s="1"/>
  <c r="P164" i="1"/>
  <c r="Q164" i="1" s="1"/>
  <c r="R164" i="1" s="1"/>
  <c r="P165" i="1"/>
  <c r="P166" i="1"/>
  <c r="Q166" i="1" s="1"/>
  <c r="P167" i="1"/>
  <c r="Q167" i="1" s="1"/>
  <c r="P168" i="1"/>
  <c r="Q168" i="1" s="1"/>
  <c r="P169" i="1"/>
  <c r="Q169" i="1" s="1"/>
  <c r="P170" i="1"/>
  <c r="Q170" i="1" s="1"/>
  <c r="R170" i="1" s="1"/>
  <c r="P171" i="1"/>
  <c r="Q171" i="1" s="1"/>
  <c r="R171" i="1" s="1"/>
  <c r="P172" i="1"/>
  <c r="Q172" i="1" s="1"/>
  <c r="P173" i="1"/>
  <c r="P174" i="1"/>
  <c r="Q174" i="1" s="1"/>
  <c r="P175" i="1"/>
  <c r="Q175" i="1" s="1"/>
  <c r="P176" i="1"/>
  <c r="Q176" i="1" s="1"/>
  <c r="R176" i="1" s="1"/>
  <c r="P177" i="1"/>
  <c r="P178" i="1"/>
  <c r="Q178" i="1" s="1"/>
  <c r="P179" i="1"/>
  <c r="Q179" i="1" s="1"/>
  <c r="R179" i="1" s="1"/>
  <c r="P180" i="1"/>
  <c r="Q180" i="1" s="1"/>
  <c r="R180" i="1" s="1"/>
  <c r="P181" i="1"/>
  <c r="Q181" i="1" s="1"/>
  <c r="P182" i="1"/>
  <c r="Q182" i="1" s="1"/>
  <c r="P183" i="1"/>
  <c r="Q183" i="1" s="1"/>
  <c r="P184" i="1"/>
  <c r="Q184" i="1" s="1"/>
  <c r="P185" i="1"/>
  <c r="P186" i="1"/>
  <c r="Q186" i="1" s="1"/>
  <c r="P187" i="1"/>
  <c r="Q187" i="1" s="1"/>
  <c r="R187" i="1" s="1"/>
  <c r="P188" i="1"/>
  <c r="Q188" i="1" s="1"/>
  <c r="R188" i="1" s="1"/>
  <c r="P189" i="1"/>
  <c r="Q189" i="1" s="1"/>
  <c r="P190" i="1"/>
  <c r="Q190" i="1" s="1"/>
  <c r="R190" i="1" s="1"/>
  <c r="P191" i="1"/>
  <c r="Q191" i="1" s="1"/>
  <c r="R191" i="1" s="1"/>
  <c r="P192" i="1"/>
  <c r="Q192" i="1" s="1"/>
  <c r="P193" i="1"/>
  <c r="Q193" i="1" s="1"/>
  <c r="P194" i="1"/>
  <c r="Q194" i="1" s="1"/>
  <c r="P195" i="1"/>
  <c r="Q195" i="1" s="1"/>
  <c r="R195" i="1" s="1"/>
  <c r="P196" i="1"/>
  <c r="Q196" i="1" s="1"/>
  <c r="R196" i="1" s="1"/>
  <c r="P197" i="1"/>
  <c r="Q197" i="1" s="1"/>
  <c r="P198" i="1"/>
  <c r="Q198" i="1" s="1"/>
  <c r="R198" i="1" s="1"/>
  <c r="P199" i="1"/>
  <c r="Q199" i="1" s="1"/>
  <c r="P200" i="1"/>
  <c r="Q200" i="1" s="1"/>
  <c r="R200" i="1" s="1"/>
  <c r="P201" i="1"/>
  <c r="P202" i="1"/>
  <c r="Q202" i="1" s="1"/>
  <c r="P203" i="1"/>
  <c r="Q203" i="1" s="1"/>
  <c r="P204" i="1"/>
  <c r="Q204" i="1" s="1"/>
  <c r="R204" i="1" s="1"/>
  <c r="P205" i="1"/>
  <c r="P206" i="1"/>
  <c r="Q206" i="1" s="1"/>
  <c r="P207" i="1"/>
  <c r="Q207" i="1" s="1"/>
  <c r="R207" i="1" s="1"/>
  <c r="P208" i="1"/>
  <c r="Q208" i="1" s="1"/>
  <c r="R208" i="1" s="1"/>
  <c r="P209" i="1"/>
  <c r="P210" i="1"/>
  <c r="Q210" i="1" s="1"/>
  <c r="R210" i="1" s="1"/>
  <c r="P211" i="1"/>
  <c r="Q211" i="1" s="1"/>
  <c r="R211" i="1" s="1"/>
  <c r="P212" i="1"/>
  <c r="Q212" i="1" s="1"/>
  <c r="P213" i="1"/>
  <c r="P214" i="1"/>
  <c r="Q214" i="1" s="1"/>
  <c r="P215" i="1"/>
  <c r="Q215" i="1" s="1"/>
  <c r="P216" i="1"/>
  <c r="Q216" i="1" s="1"/>
  <c r="R216" i="1" s="1"/>
  <c r="P217" i="1"/>
  <c r="P218" i="1"/>
  <c r="Q218" i="1" s="1"/>
  <c r="P219" i="1"/>
  <c r="Q219" i="1" s="1"/>
  <c r="R219" i="1" s="1"/>
  <c r="P220" i="1"/>
  <c r="Q220" i="1" s="1"/>
  <c r="R220" i="1" s="1"/>
  <c r="P221" i="1"/>
  <c r="P222" i="1"/>
  <c r="Q222" i="1" s="1"/>
  <c r="P223" i="1"/>
  <c r="Q223" i="1" s="1"/>
  <c r="R223" i="1" s="1"/>
  <c r="P224" i="1"/>
  <c r="Q224" i="1" s="1"/>
  <c r="P225" i="1"/>
  <c r="P226" i="1"/>
  <c r="Q226" i="1" s="1"/>
  <c r="P227" i="1"/>
  <c r="Q227" i="1" s="1"/>
  <c r="P228" i="1"/>
  <c r="Q228" i="1" s="1"/>
  <c r="P229" i="1"/>
  <c r="P230" i="1"/>
  <c r="Q230" i="1" s="1"/>
  <c r="P231" i="1"/>
  <c r="Q231" i="1" s="1"/>
  <c r="P232" i="1"/>
  <c r="Q232" i="1" s="1"/>
  <c r="R232" i="1" s="1"/>
  <c r="P233" i="1"/>
  <c r="Q233" i="1" s="1"/>
  <c r="P234" i="1"/>
  <c r="Q234" i="1" s="1"/>
  <c r="P235" i="1"/>
  <c r="Q235" i="1" s="1"/>
  <c r="R235" i="1" s="1"/>
  <c r="P236" i="1"/>
  <c r="Q236" i="1" s="1"/>
  <c r="P237" i="1"/>
  <c r="P238" i="1"/>
  <c r="Q238" i="1" s="1"/>
  <c r="P239" i="1"/>
  <c r="Q239" i="1" s="1"/>
  <c r="R239" i="1" s="1"/>
  <c r="P240" i="1"/>
  <c r="Q240" i="1" s="1"/>
  <c r="P241" i="1"/>
  <c r="P242" i="1"/>
  <c r="Q242" i="1" s="1"/>
  <c r="P243" i="1"/>
  <c r="Q243" i="1" s="1"/>
  <c r="R243" i="1" s="1"/>
  <c r="P244" i="1"/>
  <c r="Q244" i="1" s="1"/>
  <c r="P245" i="1"/>
  <c r="P246" i="1"/>
  <c r="Q246" i="1" s="1"/>
  <c r="P2" i="1"/>
  <c r="Q2" i="1" s="1"/>
  <c r="R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" i="1"/>
  <c r="R228" i="1"/>
  <c r="R184" i="1"/>
  <c r="R8" i="1"/>
  <c r="R3" i="1"/>
  <c r="R13" i="1"/>
  <c r="R160" i="1"/>
  <c r="R193" i="1"/>
  <c r="R143" i="1"/>
  <c r="R136" i="1"/>
  <c r="R129" i="1"/>
  <c r="R132" i="1"/>
  <c r="R109" i="1"/>
  <c r="R240" i="1"/>
  <c r="R56" i="1"/>
  <c r="R47" i="1"/>
  <c r="R61" i="1"/>
  <c r="R53" i="1"/>
  <c r="R68" i="1"/>
  <c r="R95" i="1"/>
  <c r="R89" i="1"/>
  <c r="R69" i="1"/>
  <c r="R77" i="1"/>
  <c r="R83" i="1" l="1"/>
  <c r="R35" i="1"/>
  <c r="R215" i="1"/>
  <c r="R71" i="1"/>
  <c r="R97" i="1"/>
  <c r="R67" i="1"/>
  <c r="R49" i="1"/>
  <c r="R121" i="1"/>
  <c r="R125" i="1"/>
  <c r="R5" i="1"/>
  <c r="R79" i="1"/>
  <c r="R51" i="1"/>
  <c r="R197" i="1"/>
  <c r="R137" i="1"/>
  <c r="R157" i="1"/>
  <c r="R227" i="1"/>
  <c r="R107" i="1"/>
  <c r="R155" i="1"/>
  <c r="R183" i="1"/>
  <c r="R73" i="1"/>
  <c r="R87" i="1"/>
  <c r="R81" i="1"/>
  <c r="R65" i="1"/>
  <c r="R41" i="1"/>
  <c r="R175" i="1"/>
  <c r="R145" i="1"/>
  <c r="R181" i="1"/>
  <c r="R99" i="1"/>
  <c r="R63" i="1"/>
  <c r="R203" i="1"/>
  <c r="R131" i="1"/>
  <c r="R147" i="1"/>
  <c r="R119" i="1"/>
  <c r="R15" i="1"/>
  <c r="R167" i="1"/>
  <c r="R231" i="1"/>
  <c r="R75" i="1"/>
  <c r="R39" i="1"/>
  <c r="R55" i="1"/>
  <c r="R199" i="1"/>
  <c r="R88" i="1"/>
  <c r="R80" i="1"/>
  <c r="R52" i="1"/>
  <c r="R60" i="1"/>
  <c r="R112" i="1"/>
  <c r="R148" i="1"/>
  <c r="R156" i="1"/>
  <c r="R76" i="1"/>
  <c r="R96" i="1"/>
  <c r="R40" i="1"/>
  <c r="R224" i="1"/>
  <c r="R152" i="1"/>
  <c r="R168" i="1"/>
  <c r="R144" i="1"/>
  <c r="R108" i="1"/>
  <c r="R28" i="1"/>
  <c r="R133" i="1"/>
  <c r="R100" i="1"/>
  <c r="R64" i="1"/>
  <c r="R44" i="1"/>
  <c r="R236" i="1"/>
  <c r="R120" i="1"/>
  <c r="R116" i="1"/>
  <c r="R4" i="1"/>
  <c r="R172" i="1"/>
  <c r="R84" i="1"/>
  <c r="R72" i="1"/>
  <c r="R92" i="1"/>
  <c r="R48" i="1"/>
  <c r="R36" i="1"/>
  <c r="R244" i="1"/>
  <c r="R212" i="1"/>
  <c r="R192" i="1"/>
  <c r="R124" i="1"/>
  <c r="R128" i="1"/>
  <c r="R140" i="1"/>
  <c r="R104" i="1"/>
  <c r="R24" i="1"/>
  <c r="R174" i="1"/>
  <c r="R110" i="1"/>
  <c r="R233" i="1"/>
  <c r="R105" i="1"/>
  <c r="Q245" i="1"/>
  <c r="R245" i="1" s="1"/>
  <c r="Q241" i="1"/>
  <c r="R241" i="1" s="1"/>
  <c r="Q237" i="1"/>
  <c r="R237" i="1" s="1"/>
  <c r="Q229" i="1"/>
  <c r="R229" i="1" s="1"/>
  <c r="Q225" i="1"/>
  <c r="R225" i="1" s="1"/>
  <c r="Q221" i="1"/>
  <c r="R221" i="1" s="1"/>
  <c r="Q217" i="1"/>
  <c r="R217" i="1" s="1"/>
  <c r="Q213" i="1"/>
  <c r="R213" i="1" s="1"/>
  <c r="Q209" i="1"/>
  <c r="R209" i="1" s="1"/>
  <c r="Q205" i="1"/>
  <c r="R205" i="1" s="1"/>
  <c r="Q201" i="1"/>
  <c r="R201" i="1" s="1"/>
  <c r="Q185" i="1"/>
  <c r="R185" i="1" s="1"/>
  <c r="Q177" i="1"/>
  <c r="R177" i="1"/>
  <c r="Q173" i="1"/>
  <c r="R173" i="1" s="1"/>
  <c r="Q165" i="1"/>
  <c r="R165" i="1" s="1"/>
  <c r="Q161" i="1"/>
  <c r="R161" i="1"/>
  <c r="Q153" i="1"/>
  <c r="R153" i="1" s="1"/>
  <c r="Q149" i="1"/>
  <c r="R149" i="1" s="1"/>
  <c r="Q141" i="1"/>
  <c r="R141" i="1" s="1"/>
  <c r="Q117" i="1"/>
  <c r="R117" i="1" s="1"/>
  <c r="Q113" i="1"/>
  <c r="R113" i="1" s="1"/>
  <c r="Q101" i="1"/>
  <c r="R101" i="1" s="1"/>
  <c r="Q93" i="1"/>
  <c r="R93" i="1" s="1"/>
  <c r="Q85" i="1"/>
  <c r="R85" i="1" s="1"/>
  <c r="Q45" i="1"/>
  <c r="R45" i="1" s="1"/>
  <c r="Q37" i="1"/>
  <c r="R37" i="1" s="1"/>
  <c r="Q33" i="1"/>
  <c r="R33" i="1" s="1"/>
  <c r="Q29" i="1"/>
  <c r="R29" i="1" s="1"/>
  <c r="Q21" i="1"/>
  <c r="R21" i="1" s="1"/>
  <c r="Q17" i="1"/>
  <c r="R17" i="1" s="1"/>
  <c r="Q9" i="1"/>
  <c r="R9" i="1" s="1"/>
  <c r="R189" i="1"/>
  <c r="R57" i="1"/>
  <c r="R169" i="1"/>
  <c r="R25" i="1"/>
  <c r="R246" i="1"/>
  <c r="R242" i="1"/>
  <c r="R238" i="1"/>
  <c r="R234" i="1"/>
  <c r="R230" i="1"/>
  <c r="R226" i="1"/>
  <c r="R222" i="1"/>
  <c r="R218" i="1"/>
  <c r="R214" i="1"/>
  <c r="R206" i="1"/>
  <c r="R202" i="1"/>
  <c r="R194" i="1"/>
  <c r="R186" i="1"/>
  <c r="R182" i="1"/>
  <c r="R178" i="1"/>
  <c r="R166" i="1"/>
  <c r="R162" i="1"/>
  <c r="R154" i="1"/>
  <c r="R150" i="1"/>
  <c r="R146" i="1"/>
  <c r="R142" i="1"/>
  <c r="R138" i="1"/>
  <c r="R134" i="1"/>
  <c r="R130" i="1"/>
  <c r="R126" i="1"/>
  <c r="R118" i="1"/>
  <c r="R114" i="1"/>
  <c r="R106" i="1"/>
  <c r="R102" i="1"/>
  <c r="R98" i="1"/>
  <c r="R94" i="1"/>
  <c r="R90" i="1"/>
  <c r="R86" i="1"/>
  <c r="R82" i="1"/>
  <c r="R78" i="1"/>
  <c r="R74" i="1"/>
  <c r="R70" i="1"/>
  <c r="R58" i="1"/>
  <c r="R54" i="1"/>
  <c r="R50" i="1"/>
  <c r="R46" i="1"/>
  <c r="R38" i="1"/>
  <c r="R30" i="1"/>
  <c r="R26" i="1"/>
  <c r="R22" i="1"/>
  <c r="R18" i="1"/>
  <c r="R10" i="1"/>
  <c r="R6" i="1"/>
  <c r="C13" i="1" l="1"/>
  <c r="B13" i="1"/>
  <c r="C6" i="1"/>
  <c r="C12" i="1"/>
  <c r="B14" i="1"/>
  <c r="B6" i="1"/>
  <c r="C14" i="1"/>
  <c r="D14" i="1" s="1"/>
  <c r="B12" i="1"/>
  <c r="D13" i="1" l="1"/>
  <c r="D12" i="1"/>
  <c r="D6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<sst xmlns="http://schemas.openxmlformats.org/spreadsheetml/2006/main" count="1742" uniqueCount="156">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</sst>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  <numFmt numFmtId="177" formatCode="0.0000"/>
    <numFmt numFmtId="178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pane xSplit="6" ySplit="1" topLeftCell="U2" activePane="bottomRight" state="frozen"/>
      <selection pane="topRight" activeCell="G1" sqref="G1"/>
      <selection pane="bottomLeft" activeCell="A2" sqref="A2"/>
      <selection pane="bottomRight" activeCell="C19" sqref="C19"/>
    </sheetView>
  </sheetViews>
  <sheetFormatPr defaultRowHeight="15" x14ac:dyDescent="0.25"/>
  <cols>
    <col min="1" max="1" width="19.85546875" bestFit="1" customWidth="1"/>
    <col min="2" max="2" width="12" bestFit="1" customWidth="1"/>
    <col min="3" max="3" width="9.7109375" bestFit="1" customWidth="1"/>
    <col min="4" max="4" width="11.140625" customWidth="1"/>
    <col min="5" max="5" width="10.42578125" customWidth="1"/>
    <col min="6" max="6" width="10.140625" customWidth="1"/>
    <col min="7" max="7" width="15.7109375" customWidth="1"/>
    <col min="8" max="8" width="17.140625" customWidth="1"/>
    <col min="9" max="9" width="23.28515625" bestFit="1" customWidth="1"/>
    <col min="10" max="10" width="10.7109375" bestFit="1" customWidth="1"/>
    <col min="11" max="13" width="10.7109375" customWidth="1"/>
    <col min="14" max="14" width="9.28515625" customWidth="1"/>
    <col min="15" max="15" width="13.28515625" bestFit="1" customWidth="1"/>
    <col min="16" max="16" width="12.85546875" customWidth="1"/>
    <col min="17" max="17" width="11" customWidth="1"/>
    <col min="18" max="18" width="15.5703125" bestFit="1" customWidth="1"/>
    <col min="19" max="19" width="13.42578125" bestFit="1" customWidth="1"/>
    <col min="20" max="20" width="16.5703125" bestFit="1" customWidth="1"/>
    <col min="21" max="21" width="13" bestFit="1" customWidth="1"/>
    <col min="22" max="22" width="14.140625" bestFit="1" customWidth="1"/>
    <col min="23" max="23" width="39.7109375" bestFit="1" customWidth="1"/>
    <col min="24" max="25" width="12.42578125" bestFit="1" customWidth="1"/>
  </cols>
  <sheetData>
    <row r="1" spans="1:25" ht="31.5" customHeight="1" x14ac:dyDescent="0.25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25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IF(P2&gt;2000,P2*0.05,0)</f>
        <v>120</v>
      </c>
      <c r="R2" s="1">
        <f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25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">
        <f t="shared" ref="Q3:Q66" si="3">IF(P3&gt;2000,P3*0.05,0)</f>
        <v>200</v>
      </c>
      <c r="R3" s="1">
        <f>P3+Q3</f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.75" x14ac:dyDescent="0.25">
      <c r="A4" s="9" t="s">
        <v>147</v>
      </c>
      <c r="B4" s="9"/>
      <c r="C4" s="9"/>
      <c r="D4" s="9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">
        <f t="shared" si="3"/>
        <v>120</v>
      </c>
      <c r="R4" s="1">
        <f>P4+Q4</f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x14ac:dyDescent="0.25">
      <c r="B5" s="10">
        <v>2022</v>
      </c>
      <c r="C5" s="10">
        <v>2023</v>
      </c>
      <c r="D5" s="11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">
        <f t="shared" si="3"/>
        <v>0</v>
      </c>
      <c r="R5" s="1">
        <f>P5+Q5</f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25">
      <c r="B6" s="5">
        <f>SUMIFS(R2:R246, L2:L246, 2022)</f>
        <v>330500</v>
      </c>
      <c r="C6" s="5">
        <f>SUMIFS(R2:R246, L2:L246, 2023)</f>
        <v>453830</v>
      </c>
      <c r="D6" s="12">
        <f>(C6-B6)/B6*100</f>
        <v>37.31618759455371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">
        <f t="shared" si="3"/>
        <v>125</v>
      </c>
      <c r="R6" s="1">
        <f>P6+Q6</f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25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">
        <f t="shared" si="3"/>
        <v>0</v>
      </c>
      <c r="R7" s="1">
        <f>P7+Q7</f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25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">
        <f t="shared" si="3"/>
        <v>270</v>
      </c>
      <c r="R8" s="1">
        <f>P8+Q8</f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25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">
        <f t="shared" si="3"/>
        <v>270</v>
      </c>
      <c r="R9" s="1">
        <f>P9+Q9</f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.75" x14ac:dyDescent="0.25">
      <c r="A10" s="9" t="s">
        <v>148</v>
      </c>
      <c r="B10" s="9"/>
      <c r="C10" s="9"/>
      <c r="D10" s="9"/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">
        <f t="shared" si="3"/>
        <v>105</v>
      </c>
      <c r="R10" s="1">
        <f>P10+Q10</f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x14ac:dyDescent="0.25">
      <c r="B11" s="10">
        <v>2022</v>
      </c>
      <c r="C11" s="10">
        <v>2023</v>
      </c>
      <c r="D11" s="11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">
        <f t="shared" si="3"/>
        <v>105</v>
      </c>
      <c r="R11" s="1">
        <f>P11+Q11</f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25">
      <c r="A12" t="s">
        <v>53</v>
      </c>
      <c r="B12" s="5">
        <f>SUMIFS($R$2:$R$103,$K$2:$K$103,1)</f>
        <v>101595</v>
      </c>
      <c r="C12" s="5">
        <f>SUMIFS($R$104:$R$246,$K$104:$K$246,1)</f>
        <v>143555</v>
      </c>
      <c r="D12" s="13">
        <f>(C12-B12)/B12*100</f>
        <v>41.301245140016732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">
        <f t="shared" si="3"/>
        <v>130</v>
      </c>
      <c r="R12" s="1">
        <f>P12+Q12</f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25">
      <c r="A13" t="s">
        <v>57</v>
      </c>
      <c r="B13" s="5">
        <f>SUMIFS($R$2:$R$103,$K$2:$K$103,2)</f>
        <v>113445</v>
      </c>
      <c r="C13" s="5">
        <f>SUMIFS($R$104:$R$246,$K$104:$K$246,2)</f>
        <v>145535</v>
      </c>
      <c r="D13" s="13">
        <f t="shared" ref="D13:D14" si="4">(C13-B13)/B13*100</f>
        <v>28.286835030190844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">
        <f t="shared" si="3"/>
        <v>130</v>
      </c>
      <c r="R13" s="1">
        <f>P13+Q13</f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25">
      <c r="A14" t="s">
        <v>60</v>
      </c>
      <c r="B14" s="5">
        <f>SUMIFS($R$2:$R$103,$K$2:$K$103,3)</f>
        <v>115460</v>
      </c>
      <c r="C14" s="5">
        <f>SUMIFS($R$104:$R$246,$K$104:$K$246,3)</f>
        <v>164740</v>
      </c>
      <c r="D14" s="13">
        <f t="shared" si="4"/>
        <v>42.681448120561235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">
        <f t="shared" si="3"/>
        <v>0</v>
      </c>
      <c r="R14" s="1">
        <f>P14+Q14</f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25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">
        <f t="shared" si="3"/>
        <v>0</v>
      </c>
      <c r="R15" s="1">
        <f>P15+Q15</f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25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">
        <f t="shared" si="3"/>
        <v>220</v>
      </c>
      <c r="R16" s="1">
        <f>P16+Q16</f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25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">
        <f t="shared" si="3"/>
        <v>125</v>
      </c>
      <c r="R17" s="1">
        <f>P17+Q17</f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25"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">
        <f t="shared" si="3"/>
        <v>285</v>
      </c>
      <c r="R18" s="1">
        <f>P18+Q18</f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25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">
        <f t="shared" si="3"/>
        <v>110</v>
      </c>
      <c r="R19" s="1">
        <f>P19+Q19</f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25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">
        <f t="shared" si="3"/>
        <v>200</v>
      </c>
      <c r="R20" s="1">
        <f>P20+Q20</f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25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">
        <f t="shared" si="3"/>
        <v>200</v>
      </c>
      <c r="R21" s="1">
        <f>P21+Q21</f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25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">
        <f t="shared" si="3"/>
        <v>115</v>
      </c>
      <c r="R22" s="1">
        <f>P22+Q22</f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25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">
        <f t="shared" si="3"/>
        <v>115</v>
      </c>
      <c r="R23" s="1">
        <f>P23+Q23</f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25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">
        <f t="shared" si="3"/>
        <v>300</v>
      </c>
      <c r="R24" s="1">
        <f>P24+Q24</f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25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">
        <f t="shared" si="3"/>
        <v>175</v>
      </c>
      <c r="R25" s="1">
        <f>P25+Q25</f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25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">
        <f t="shared" si="3"/>
        <v>110</v>
      </c>
      <c r="R26" s="1">
        <f>P26+Q26</f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25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">
        <f t="shared" si="3"/>
        <v>0</v>
      </c>
      <c r="R27" s="1">
        <f>P27+Q27</f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25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">
        <f t="shared" si="3"/>
        <v>255</v>
      </c>
      <c r="R28" s="1">
        <f>P28+Q28</f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25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">
        <f t="shared" si="3"/>
        <v>0</v>
      </c>
      <c r="R29" s="1">
        <f>P29+Q29</f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25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">
        <f t="shared" si="3"/>
        <v>150</v>
      </c>
      <c r="R30" s="1">
        <f>P30+Q30</f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25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">
        <f t="shared" si="3"/>
        <v>0</v>
      </c>
      <c r="R31" s="1">
        <f>P31+Q31</f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25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">
        <f t="shared" si="3"/>
        <v>230</v>
      </c>
      <c r="R32" s="1">
        <f>P32+Q32</f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25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">
        <f t="shared" si="3"/>
        <v>130</v>
      </c>
      <c r="R33" s="1">
        <f>P33+Q33</f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25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">
        <f t="shared" si="3"/>
        <v>200</v>
      </c>
      <c r="R34" s="1">
        <f>P34+Q34</f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25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">
        <f t="shared" si="3"/>
        <v>120</v>
      </c>
      <c r="R35" s="1">
        <f>P35+Q35</f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25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">
        <f t="shared" si="3"/>
        <v>125</v>
      </c>
      <c r="R36" s="1">
        <f>P36+Q36</f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25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">
        <f t="shared" si="3"/>
        <v>0</v>
      </c>
      <c r="R37" s="1">
        <f>P37+Q37</f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25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">
        <f t="shared" si="3"/>
        <v>255</v>
      </c>
      <c r="R38" s="1">
        <f>P38+Q38</f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25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">
        <f t="shared" si="3"/>
        <v>270</v>
      </c>
      <c r="R39" s="1">
        <f>P39+Q39</f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25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">
        <f t="shared" si="3"/>
        <v>105</v>
      </c>
      <c r="R40" s="1">
        <f>P40+Q40</f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25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">
        <f t="shared" si="3"/>
        <v>105</v>
      </c>
      <c r="R41" s="1">
        <f>P41+Q41</f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25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">
        <f t="shared" si="3"/>
        <v>150</v>
      </c>
      <c r="R42" s="1">
        <f>P42+Q42</f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25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">
        <f t="shared" si="3"/>
        <v>130</v>
      </c>
      <c r="R43" s="1">
        <f>P43+Q43</f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25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">
        <f t="shared" si="3"/>
        <v>0</v>
      </c>
      <c r="R44" s="1">
        <f>P44+Q44</f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25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">
        <f t="shared" si="3"/>
        <v>0</v>
      </c>
      <c r="R45" s="1">
        <f>P45+Q45</f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25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">
        <f t="shared" si="3"/>
        <v>320</v>
      </c>
      <c r="R46" s="1">
        <f>P46+Q46</f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25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">
        <f t="shared" si="3"/>
        <v>220</v>
      </c>
      <c r="R47" s="1">
        <f>P47+Q47</f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25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">
        <f t="shared" si="3"/>
        <v>220</v>
      </c>
      <c r="R48" s="1">
        <f>P48+Q48</f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25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">
        <f t="shared" si="3"/>
        <v>185</v>
      </c>
      <c r="R49" s="1">
        <f>P49+Q49</f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25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">
        <f t="shared" si="3"/>
        <v>125</v>
      </c>
      <c r="R50" s="1">
        <f>P50+Q50</f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25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">
        <f t="shared" si="3"/>
        <v>125</v>
      </c>
      <c r="R51" s="1">
        <f>P51+Q51</f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25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">
        <f t="shared" si="3"/>
        <v>130</v>
      </c>
      <c r="R52" s="1">
        <f>P52+Q52</f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25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">
        <f t="shared" si="3"/>
        <v>0</v>
      </c>
      <c r="R53" s="1">
        <f>P53+Q53</f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25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">
        <f t="shared" si="3"/>
        <v>285</v>
      </c>
      <c r="R54" s="1">
        <f>P54+Q54</f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25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">
        <f t="shared" si="3"/>
        <v>110</v>
      </c>
      <c r="R55" s="1">
        <f>P55+Q55</f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25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">
        <f t="shared" si="3"/>
        <v>200</v>
      </c>
      <c r="R56" s="1">
        <f>P56+Q56</f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25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">
        <f t="shared" si="3"/>
        <v>115</v>
      </c>
      <c r="R57" s="1">
        <f>P57+Q57</f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25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">
        <f t="shared" si="3"/>
        <v>300</v>
      </c>
      <c r="R58" s="1">
        <f>P58+Q58</f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25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">
        <f t="shared" si="3"/>
        <v>175</v>
      </c>
      <c r="R59" s="1">
        <f>P59+Q59</f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25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">
        <f t="shared" si="3"/>
        <v>110</v>
      </c>
      <c r="R60" s="1">
        <f>P60+Q60</f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25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">
        <f t="shared" si="3"/>
        <v>0</v>
      </c>
      <c r="R61" s="1">
        <f>P61+Q61</f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25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">
        <f t="shared" si="3"/>
        <v>255</v>
      </c>
      <c r="R62" s="1">
        <f>P62+Q62</f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25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">
        <f t="shared" si="3"/>
        <v>0</v>
      </c>
      <c r="R63" s="1">
        <f>P63+Q63</f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25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">
        <f t="shared" si="3"/>
        <v>150</v>
      </c>
      <c r="R64" s="1">
        <f>P64+Q64</f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25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">
        <f t="shared" si="3"/>
        <v>0</v>
      </c>
      <c r="R65" s="1">
        <f>P65+Q65</f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25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">
        <f t="shared" si="3"/>
        <v>230</v>
      </c>
      <c r="R66" s="1">
        <f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25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5">MONTH(J67)</f>
        <v>2</v>
      </c>
      <c r="L67">
        <f t="shared" ref="L67:L130" si="6">YEAR(J67)</f>
        <v>2022</v>
      </c>
      <c r="M67" s="1">
        <v>1872</v>
      </c>
      <c r="N67" s="1">
        <v>2600</v>
      </c>
      <c r="O67">
        <v>1</v>
      </c>
      <c r="P67" s="1">
        <f t="shared" ref="P67:P130" si="7">N67*O67</f>
        <v>2600</v>
      </c>
      <c r="Q67" s="1">
        <f t="shared" ref="Q67:Q130" si="8">IF(P67&gt;2000,P67*0.05,0)</f>
        <v>130</v>
      </c>
      <c r="R67" s="1">
        <f>P67+Q67</f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25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2400</v>
      </c>
      <c r="Q68" s="1">
        <f t="shared" si="8"/>
        <v>120</v>
      </c>
      <c r="R68" s="1">
        <f>P68+Q68</f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25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4000</v>
      </c>
      <c r="Q69" s="1">
        <f t="shared" si="8"/>
        <v>200</v>
      </c>
      <c r="R69" s="1">
        <f>P69+Q69</f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25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1500</v>
      </c>
      <c r="Q70" s="1">
        <f t="shared" si="8"/>
        <v>0</v>
      </c>
      <c r="R70" s="1">
        <f>P70+Q70</f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25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2500</v>
      </c>
      <c r="Q71" s="1">
        <f t="shared" si="8"/>
        <v>125</v>
      </c>
      <c r="R71" s="1">
        <f>P71+Q71</f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25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5400</v>
      </c>
      <c r="Q72" s="1">
        <f t="shared" si="8"/>
        <v>270</v>
      </c>
      <c r="R72" s="1">
        <f>P72+Q72</f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25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5100</v>
      </c>
      <c r="Q73" s="1">
        <f t="shared" si="8"/>
        <v>255</v>
      </c>
      <c r="R73" s="1">
        <f>P73+Q73</f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25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2100</v>
      </c>
      <c r="Q74" s="1">
        <f t="shared" si="8"/>
        <v>105</v>
      </c>
      <c r="R74" s="1">
        <f>P74+Q74</f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25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2100</v>
      </c>
      <c r="Q75" s="1">
        <f t="shared" si="8"/>
        <v>105</v>
      </c>
      <c r="R75" s="1">
        <f>P75+Q75</f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25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2600</v>
      </c>
      <c r="Q76" s="1">
        <f t="shared" si="8"/>
        <v>130</v>
      </c>
      <c r="R76" s="1">
        <f>P76+Q76</f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25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3000</v>
      </c>
      <c r="Q77" s="1">
        <f t="shared" si="8"/>
        <v>150</v>
      </c>
      <c r="R77" s="1">
        <f>P77+Q77</f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25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1600</v>
      </c>
      <c r="Q78" s="1">
        <f t="shared" si="8"/>
        <v>0</v>
      </c>
      <c r="R78" s="1">
        <f>P78+Q78</f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25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1800</v>
      </c>
      <c r="Q79" s="1">
        <f t="shared" si="8"/>
        <v>0</v>
      </c>
      <c r="R79" s="1">
        <f>P79+Q79</f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25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4400</v>
      </c>
      <c r="Q80" s="1">
        <f t="shared" si="8"/>
        <v>220</v>
      </c>
      <c r="R80" s="1">
        <f>P80+Q80</f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25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2500</v>
      </c>
      <c r="Q81" s="1">
        <f t="shared" si="8"/>
        <v>125</v>
      </c>
      <c r="R81" s="1">
        <f>P81+Q81</f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25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2600</v>
      </c>
      <c r="Q82" s="1">
        <f t="shared" si="8"/>
        <v>130</v>
      </c>
      <c r="R82" s="1">
        <f>P82+Q82</f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25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1600</v>
      </c>
      <c r="Q83" s="1">
        <f t="shared" si="8"/>
        <v>0</v>
      </c>
      <c r="R83" s="1">
        <f>P83+Q83</f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25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5700</v>
      </c>
      <c r="Q84" s="1">
        <f t="shared" si="8"/>
        <v>285</v>
      </c>
      <c r="R84" s="1">
        <f>P84+Q84</f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25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2200</v>
      </c>
      <c r="Q85" s="1">
        <f t="shared" si="8"/>
        <v>110</v>
      </c>
      <c r="R85" s="1">
        <f>P85+Q85</f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25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4000</v>
      </c>
      <c r="Q86" s="1">
        <f t="shared" si="8"/>
        <v>200</v>
      </c>
      <c r="R86" s="1">
        <f>P86+Q86</f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25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2300</v>
      </c>
      <c r="Q87" s="1">
        <f t="shared" si="8"/>
        <v>115</v>
      </c>
      <c r="R87" s="1">
        <f>P87+Q87</f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25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6000</v>
      </c>
      <c r="Q88" s="1">
        <f t="shared" si="8"/>
        <v>300</v>
      </c>
      <c r="R88" s="1">
        <f>P88+Q88</f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25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3500</v>
      </c>
      <c r="Q89" s="1">
        <f t="shared" si="8"/>
        <v>175</v>
      </c>
      <c r="R89" s="1">
        <f>P89+Q89</f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25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2200</v>
      </c>
      <c r="Q90" s="1">
        <f t="shared" si="8"/>
        <v>110</v>
      </c>
      <c r="R90" s="1">
        <f>P90+Q90</f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25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1400</v>
      </c>
      <c r="Q91" s="1">
        <f t="shared" si="8"/>
        <v>0</v>
      </c>
      <c r="R91" s="1">
        <f>P91+Q91</f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25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5100</v>
      </c>
      <c r="Q92" s="1">
        <f t="shared" si="8"/>
        <v>255</v>
      </c>
      <c r="R92" s="1">
        <f>P92+Q92</f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25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5100</v>
      </c>
      <c r="Q93" s="1">
        <f t="shared" si="8"/>
        <v>255</v>
      </c>
      <c r="R93" s="1">
        <f>P93+Q93</f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25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2000</v>
      </c>
      <c r="Q94" s="1">
        <f t="shared" si="8"/>
        <v>0</v>
      </c>
      <c r="R94" s="1">
        <f>P94+Q94</f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25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2000</v>
      </c>
      <c r="Q95" s="1">
        <f t="shared" si="8"/>
        <v>0</v>
      </c>
      <c r="R95" s="1">
        <f>P95+Q95</f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25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3000</v>
      </c>
      <c r="Q96" s="1">
        <f t="shared" si="8"/>
        <v>150</v>
      </c>
      <c r="R96" s="1">
        <f>P96+Q96</f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25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3000</v>
      </c>
      <c r="Q97" s="1">
        <f t="shared" si="8"/>
        <v>150</v>
      </c>
      <c r="R97" s="1">
        <f>P97+Q97</f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25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1800</v>
      </c>
      <c r="Q98" s="1">
        <f t="shared" si="8"/>
        <v>0</v>
      </c>
      <c r="R98" s="1">
        <f>P98+Q98</f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25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1800</v>
      </c>
      <c r="Q99" s="1">
        <f t="shared" si="8"/>
        <v>0</v>
      </c>
      <c r="R99" s="1">
        <f>P99+Q99</f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25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4600</v>
      </c>
      <c r="Q100" s="1">
        <f t="shared" si="8"/>
        <v>230</v>
      </c>
      <c r="R100" s="1">
        <f>P100+Q100</f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25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4600</v>
      </c>
      <c r="Q101" s="1">
        <f t="shared" si="8"/>
        <v>230</v>
      </c>
      <c r="R101" s="1">
        <f>P101+Q101</f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25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2600</v>
      </c>
      <c r="Q102" s="1">
        <f t="shared" si="8"/>
        <v>130</v>
      </c>
      <c r="R102" s="1">
        <f>P102+Q102</f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25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2600</v>
      </c>
      <c r="Q103" s="1">
        <f t="shared" si="8"/>
        <v>130</v>
      </c>
      <c r="R103" s="1">
        <f>P103+Q103</f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25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2400</v>
      </c>
      <c r="Q104" s="1">
        <f t="shared" si="8"/>
        <v>120</v>
      </c>
      <c r="R104" s="1">
        <f>P104+Q104</f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25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4000</v>
      </c>
      <c r="Q105" s="1">
        <f t="shared" si="8"/>
        <v>200</v>
      </c>
      <c r="R105" s="1">
        <f>P105+Q105</f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25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1500</v>
      </c>
      <c r="Q106" s="1">
        <f t="shared" si="8"/>
        <v>0</v>
      </c>
      <c r="R106" s="1">
        <f>P106+Q106</f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25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2500</v>
      </c>
      <c r="Q107" s="1">
        <f t="shared" si="8"/>
        <v>125</v>
      </c>
      <c r="R107" s="1">
        <f>P107+Q107</f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25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5400</v>
      </c>
      <c r="Q108" s="1">
        <f t="shared" si="8"/>
        <v>270</v>
      </c>
      <c r="R108" s="1">
        <f>P108+Q108</f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25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5100</v>
      </c>
      <c r="Q109" s="1">
        <f t="shared" si="8"/>
        <v>255</v>
      </c>
      <c r="R109" s="1">
        <f>P109+Q109</f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25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2100</v>
      </c>
      <c r="Q110" s="1">
        <f t="shared" si="8"/>
        <v>105</v>
      </c>
      <c r="R110" s="1">
        <f>P110+Q110</f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25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2100</v>
      </c>
      <c r="Q111" s="1">
        <f t="shared" si="8"/>
        <v>105</v>
      </c>
      <c r="R111" s="1">
        <f>P111+Q111</f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25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2100</v>
      </c>
      <c r="Q112" s="1">
        <f t="shared" si="8"/>
        <v>105</v>
      </c>
      <c r="R112" s="1">
        <f>P112+Q112</f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25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2600</v>
      </c>
      <c r="Q113" s="1">
        <f t="shared" si="8"/>
        <v>130</v>
      </c>
      <c r="R113" s="1">
        <f>P113+Q113</f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25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2600</v>
      </c>
      <c r="Q114" s="1">
        <f t="shared" si="8"/>
        <v>130</v>
      </c>
      <c r="R114" s="1">
        <f>P114+Q114</f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25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3000</v>
      </c>
      <c r="Q115" s="1">
        <f t="shared" si="8"/>
        <v>150</v>
      </c>
      <c r="R115" s="1">
        <f>P115+Q115</f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25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1600</v>
      </c>
      <c r="Q116" s="1">
        <f t="shared" si="8"/>
        <v>0</v>
      </c>
      <c r="R116" s="1">
        <f>P116+Q116</f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25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1600</v>
      </c>
      <c r="Q117" s="1">
        <f t="shared" si="8"/>
        <v>0</v>
      </c>
      <c r="R117" s="1">
        <f>P117+Q117</f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25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1800</v>
      </c>
      <c r="Q118" s="1">
        <f t="shared" si="8"/>
        <v>0</v>
      </c>
      <c r="R118" s="1">
        <f>P118+Q118</f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25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4400</v>
      </c>
      <c r="Q119" s="1">
        <f t="shared" si="8"/>
        <v>220</v>
      </c>
      <c r="R119" s="1">
        <f>P119+Q119</f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25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4400</v>
      </c>
      <c r="Q120" s="1">
        <f t="shared" si="8"/>
        <v>220</v>
      </c>
      <c r="R120" s="1">
        <f>P120+Q120</f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25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6400</v>
      </c>
      <c r="Q121" s="1">
        <f t="shared" si="8"/>
        <v>320</v>
      </c>
      <c r="R121" s="1">
        <f>P121+Q121</f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25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2500</v>
      </c>
      <c r="Q122" s="1">
        <f t="shared" si="8"/>
        <v>125</v>
      </c>
      <c r="R122" s="1">
        <f>P122+Q122</f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25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2500</v>
      </c>
      <c r="Q123" s="1">
        <f t="shared" si="8"/>
        <v>125</v>
      </c>
      <c r="R123" s="1">
        <f>P123+Q123</f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25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3700</v>
      </c>
      <c r="Q124" s="1">
        <f t="shared" si="8"/>
        <v>185</v>
      </c>
      <c r="R124" s="1">
        <f>P124+Q124</f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25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2600</v>
      </c>
      <c r="Q125" s="1">
        <f t="shared" si="8"/>
        <v>130</v>
      </c>
      <c r="R125" s="1">
        <f>P125+Q125</f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25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1600</v>
      </c>
      <c r="Q126" s="1">
        <f t="shared" si="8"/>
        <v>0</v>
      </c>
      <c r="R126" s="1">
        <f>P126+Q126</f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25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5700</v>
      </c>
      <c r="Q127" s="1">
        <f t="shared" si="8"/>
        <v>285</v>
      </c>
      <c r="R127" s="1">
        <f>P127+Q127</f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25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2200</v>
      </c>
      <c r="Q128" s="1">
        <f t="shared" si="8"/>
        <v>110</v>
      </c>
      <c r="R128" s="1">
        <f>P128+Q128</f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25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4000</v>
      </c>
      <c r="Q129" s="1">
        <f t="shared" si="8"/>
        <v>200</v>
      </c>
      <c r="R129" s="1">
        <f>P129+Q129</f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25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5"/>
        <v>1</v>
      </c>
      <c r="L130">
        <f t="shared" si="6"/>
        <v>2023</v>
      </c>
      <c r="M130" s="1">
        <v>1541</v>
      </c>
      <c r="N130" s="1">
        <v>2300</v>
      </c>
      <c r="O130">
        <v>1</v>
      </c>
      <c r="P130" s="1">
        <f t="shared" si="7"/>
        <v>2300</v>
      </c>
      <c r="Q130" s="1">
        <f t="shared" si="8"/>
        <v>115</v>
      </c>
      <c r="R130" s="1">
        <f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25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9">MONTH(J131)</f>
        <v>1</v>
      </c>
      <c r="L131">
        <f t="shared" ref="L131:L194" si="10">YEAR(J131)</f>
        <v>2023</v>
      </c>
      <c r="M131" s="1">
        <v>2250</v>
      </c>
      <c r="N131" s="1">
        <v>3000</v>
      </c>
      <c r="O131">
        <v>2</v>
      </c>
      <c r="P131" s="1">
        <f t="shared" ref="P131:P194" si="11">N131*O131</f>
        <v>6000</v>
      </c>
      <c r="Q131" s="1">
        <f t="shared" ref="Q131:Q194" si="12">IF(P131&gt;2000,P131*0.05,0)</f>
        <v>300</v>
      </c>
      <c r="R131" s="1">
        <f>P131+Q131</f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25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3500</v>
      </c>
      <c r="Q132" s="1">
        <f t="shared" si="12"/>
        <v>175</v>
      </c>
      <c r="R132" s="1">
        <f>P132+Q132</f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25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2200</v>
      </c>
      <c r="Q133" s="1">
        <f t="shared" si="12"/>
        <v>110</v>
      </c>
      <c r="R133" s="1">
        <f>P133+Q133</f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25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2200</v>
      </c>
      <c r="Q134" s="1">
        <f t="shared" si="12"/>
        <v>110</v>
      </c>
      <c r="R134" s="1">
        <f>P134+Q134</f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25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1400</v>
      </c>
      <c r="Q135" s="1">
        <f t="shared" si="12"/>
        <v>0</v>
      </c>
      <c r="R135" s="1">
        <f>P135+Q135</f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25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1400</v>
      </c>
      <c r="Q136" s="1">
        <f t="shared" si="12"/>
        <v>0</v>
      </c>
      <c r="R136" s="1">
        <f>P136+Q136</f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25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5100</v>
      </c>
      <c r="Q137" s="1">
        <f t="shared" si="12"/>
        <v>255</v>
      </c>
      <c r="R137" s="1">
        <f>P137+Q137</f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25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5100</v>
      </c>
      <c r="Q138" s="1">
        <f t="shared" si="12"/>
        <v>255</v>
      </c>
      <c r="R138" s="1">
        <f>P138+Q138</f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25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2000</v>
      </c>
      <c r="Q139" s="1">
        <f t="shared" si="12"/>
        <v>0</v>
      </c>
      <c r="R139" s="1">
        <f>P139+Q139</f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25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2000</v>
      </c>
      <c r="Q140" s="1">
        <f t="shared" si="12"/>
        <v>0</v>
      </c>
      <c r="R140" s="1">
        <f>P140+Q140</f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25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3000</v>
      </c>
      <c r="Q141" s="1">
        <f t="shared" si="12"/>
        <v>150</v>
      </c>
      <c r="R141" s="1">
        <f>P141+Q141</f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25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3000</v>
      </c>
      <c r="Q142" s="1">
        <f t="shared" si="12"/>
        <v>150</v>
      </c>
      <c r="R142" s="1">
        <f>P142+Q142</f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25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1800</v>
      </c>
      <c r="Q143" s="1">
        <f t="shared" si="12"/>
        <v>0</v>
      </c>
      <c r="R143" s="1">
        <f>P143+Q143</f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25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1800</v>
      </c>
      <c r="Q144" s="1">
        <f t="shared" si="12"/>
        <v>0</v>
      </c>
      <c r="R144" s="1">
        <f>P144+Q144</f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25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4600</v>
      </c>
      <c r="Q145" s="1">
        <f t="shared" si="12"/>
        <v>230</v>
      </c>
      <c r="R145" s="1">
        <f>P145+Q145</f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25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4600</v>
      </c>
      <c r="Q146" s="1">
        <f t="shared" si="12"/>
        <v>230</v>
      </c>
      <c r="R146" s="1">
        <f>P146+Q146</f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25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2600</v>
      </c>
      <c r="Q147" s="1">
        <f t="shared" si="12"/>
        <v>130</v>
      </c>
      <c r="R147" s="1">
        <f>P147+Q147</f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25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2600</v>
      </c>
      <c r="Q148" s="1">
        <f t="shared" si="12"/>
        <v>130</v>
      </c>
      <c r="R148" s="1">
        <f>P148+Q148</f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25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300</v>
      </c>
      <c r="Q149" s="1">
        <f t="shared" si="12"/>
        <v>0</v>
      </c>
      <c r="R149" s="1">
        <f>P149+Q149</f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25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2400</v>
      </c>
      <c r="Q150" s="1">
        <f t="shared" si="12"/>
        <v>120</v>
      </c>
      <c r="R150" s="1">
        <f>P150+Q150</f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25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200</v>
      </c>
      <c r="Q151" s="1">
        <f t="shared" si="12"/>
        <v>0</v>
      </c>
      <c r="R151" s="1">
        <f>P151+Q151</f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25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1500</v>
      </c>
      <c r="Q152" s="1">
        <f t="shared" si="12"/>
        <v>0</v>
      </c>
      <c r="R152" s="1">
        <f>P152+Q152</f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25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1200</v>
      </c>
      <c r="Q153" s="1">
        <f t="shared" si="12"/>
        <v>0</v>
      </c>
      <c r="R153" s="1">
        <f>P153+Q153</f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25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5400</v>
      </c>
      <c r="Q154" s="1">
        <f t="shared" si="12"/>
        <v>270</v>
      </c>
      <c r="R154" s="1">
        <f>P154+Q154</f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25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600</v>
      </c>
      <c r="Q155" s="1">
        <f t="shared" si="12"/>
        <v>0</v>
      </c>
      <c r="R155" s="1">
        <f>P155+Q155</f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25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2100</v>
      </c>
      <c r="Q156" s="1">
        <f t="shared" si="12"/>
        <v>105</v>
      </c>
      <c r="R156" s="1">
        <f>P156+Q156</f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25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3600</v>
      </c>
      <c r="Q157" s="1">
        <f t="shared" si="12"/>
        <v>180</v>
      </c>
      <c r="R157" s="1">
        <f>P157+Q157</f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25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2600</v>
      </c>
      <c r="Q158" s="1">
        <f t="shared" si="12"/>
        <v>130</v>
      </c>
      <c r="R158" s="1">
        <f>P158+Q158</f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25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2400</v>
      </c>
      <c r="Q159" s="1">
        <f t="shared" si="12"/>
        <v>120</v>
      </c>
      <c r="R159" s="1">
        <f>P159+Q159</f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25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1600</v>
      </c>
      <c r="Q160" s="1">
        <f t="shared" si="12"/>
        <v>0</v>
      </c>
      <c r="R160" s="1">
        <f>P160+Q160</f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25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4200</v>
      </c>
      <c r="Q161" s="1">
        <f t="shared" si="12"/>
        <v>210</v>
      </c>
      <c r="R161" s="1">
        <f>P161+Q161</f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25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4400</v>
      </c>
      <c r="Q162" s="1">
        <f t="shared" si="12"/>
        <v>220</v>
      </c>
      <c r="R162" s="1">
        <f>P162+Q162</f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25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2600</v>
      </c>
      <c r="Q163" s="1">
        <f t="shared" si="12"/>
        <v>130</v>
      </c>
      <c r="R163" s="1">
        <f>P163+Q163</f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25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2500</v>
      </c>
      <c r="Q164" s="1">
        <f t="shared" si="12"/>
        <v>125</v>
      </c>
      <c r="R164" s="1">
        <f>P164+Q164</f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25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2400</v>
      </c>
      <c r="Q165" s="1">
        <f t="shared" si="12"/>
        <v>120</v>
      </c>
      <c r="R165" s="1">
        <f>P165+Q165</f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25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2400</v>
      </c>
      <c r="Q166" s="1">
        <f t="shared" si="12"/>
        <v>120</v>
      </c>
      <c r="R166" s="1">
        <f>P166+Q166</f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25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1500</v>
      </c>
      <c r="Q167" s="1">
        <f t="shared" si="12"/>
        <v>0</v>
      </c>
      <c r="R167" s="1">
        <f>P167+Q167</f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25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1500</v>
      </c>
      <c r="Q168" s="1">
        <f t="shared" si="12"/>
        <v>0</v>
      </c>
      <c r="R168" s="1">
        <f>P168+Q168</f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25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8400</v>
      </c>
      <c r="Q169" s="1">
        <f t="shared" si="12"/>
        <v>420</v>
      </c>
      <c r="R169" s="1">
        <f>P169+Q169</f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25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2200</v>
      </c>
      <c r="Q170" s="1">
        <f t="shared" si="12"/>
        <v>110</v>
      </c>
      <c r="R170" s="1">
        <f>P170+Q170</f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25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8400</v>
      </c>
      <c r="Q171" s="1">
        <f t="shared" si="12"/>
        <v>420</v>
      </c>
      <c r="R171" s="1">
        <f>P171+Q171</f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25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3200</v>
      </c>
      <c r="Q172" s="1">
        <f t="shared" si="12"/>
        <v>160</v>
      </c>
      <c r="R172" s="1">
        <f>P172+Q172</f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25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1400</v>
      </c>
      <c r="Q173" s="1">
        <f t="shared" si="12"/>
        <v>0</v>
      </c>
      <c r="R173" s="1">
        <f>P173+Q173</f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25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3200</v>
      </c>
      <c r="Q174" s="1">
        <f t="shared" si="12"/>
        <v>160</v>
      </c>
      <c r="R174" s="1">
        <f>P174+Q174</f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25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1400</v>
      </c>
      <c r="Q175" s="1">
        <f t="shared" si="12"/>
        <v>0</v>
      </c>
      <c r="R175" s="1">
        <f>P175+Q175</f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25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4000</v>
      </c>
      <c r="Q176" s="1">
        <f t="shared" si="12"/>
        <v>200</v>
      </c>
      <c r="R176" s="1">
        <f>P176+Q176</f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25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5100</v>
      </c>
      <c r="Q177" s="1">
        <f t="shared" si="12"/>
        <v>255</v>
      </c>
      <c r="R177" s="1">
        <f>P177+Q177</f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25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4000</v>
      </c>
      <c r="Q178" s="1">
        <f t="shared" si="12"/>
        <v>200</v>
      </c>
      <c r="R178" s="1">
        <f>P178+Q178</f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25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5100</v>
      </c>
      <c r="Q179" s="1">
        <f t="shared" si="12"/>
        <v>255</v>
      </c>
      <c r="R179" s="1">
        <f>P179+Q179</f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25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2400</v>
      </c>
      <c r="Q180" s="1">
        <f t="shared" si="12"/>
        <v>120</v>
      </c>
      <c r="R180" s="1">
        <f>P180+Q180</f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25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2000</v>
      </c>
      <c r="Q181" s="1">
        <f t="shared" si="12"/>
        <v>0</v>
      </c>
      <c r="R181" s="1">
        <f>P181+Q181</f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25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2400</v>
      </c>
      <c r="Q182" s="1">
        <f t="shared" si="12"/>
        <v>120</v>
      </c>
      <c r="R182" s="1">
        <f>P182+Q182</f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25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2000</v>
      </c>
      <c r="Q183" s="1">
        <f t="shared" si="12"/>
        <v>0</v>
      </c>
      <c r="R183" s="1">
        <f>P183+Q183</f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25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5800</v>
      </c>
      <c r="Q184" s="1">
        <f t="shared" si="12"/>
        <v>290</v>
      </c>
      <c r="R184" s="1">
        <f>P184+Q184</f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25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3000</v>
      </c>
      <c r="Q185" s="1">
        <f t="shared" si="12"/>
        <v>150</v>
      </c>
      <c r="R185" s="1">
        <f>P185+Q185</f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25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5800</v>
      </c>
      <c r="Q186" s="1">
        <f t="shared" si="12"/>
        <v>290</v>
      </c>
      <c r="R186" s="1">
        <f>P186+Q186</f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25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3000</v>
      </c>
      <c r="Q187" s="1">
        <f t="shared" si="12"/>
        <v>150</v>
      </c>
      <c r="R187" s="1">
        <f>P187+Q187</f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25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3300</v>
      </c>
      <c r="Q188" s="1">
        <f t="shared" si="12"/>
        <v>165</v>
      </c>
      <c r="R188" s="1">
        <f>P188+Q188</f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25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1800</v>
      </c>
      <c r="Q189" s="1">
        <f t="shared" si="12"/>
        <v>0</v>
      </c>
      <c r="R189" s="1">
        <f>P189+Q189</f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25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1800</v>
      </c>
      <c r="Q190" s="1">
        <f t="shared" si="12"/>
        <v>0</v>
      </c>
      <c r="R190" s="1">
        <f>P190+Q190</f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25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4600</v>
      </c>
      <c r="Q191" s="1">
        <f t="shared" si="12"/>
        <v>230</v>
      </c>
      <c r="R191" s="1">
        <f>P191+Q191</f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25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4600</v>
      </c>
      <c r="Q192" s="1">
        <f t="shared" si="12"/>
        <v>230</v>
      </c>
      <c r="R192" s="1">
        <f>P192+Q192</f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25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2600</v>
      </c>
      <c r="Q193" s="1">
        <f t="shared" si="12"/>
        <v>130</v>
      </c>
      <c r="R193" s="1">
        <f>P193+Q193</f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25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9"/>
        <v>2</v>
      </c>
      <c r="L194">
        <f t="shared" si="10"/>
        <v>2023</v>
      </c>
      <c r="M194" s="1">
        <v>1872</v>
      </c>
      <c r="N194" s="1">
        <v>2600</v>
      </c>
      <c r="O194">
        <v>1</v>
      </c>
      <c r="P194" s="1">
        <f t="shared" si="11"/>
        <v>2600</v>
      </c>
      <c r="Q194" s="1">
        <f t="shared" si="12"/>
        <v>130</v>
      </c>
      <c r="R194" s="1">
        <f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25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3">MONTH(J195)</f>
        <v>3</v>
      </c>
      <c r="L195">
        <f t="shared" ref="L195:L246" si="14">YEAR(J195)</f>
        <v>2023</v>
      </c>
      <c r="M195" s="1">
        <v>840</v>
      </c>
      <c r="N195" s="1">
        <v>1200</v>
      </c>
      <c r="O195">
        <v>2</v>
      </c>
      <c r="P195" s="1">
        <f t="shared" ref="P195:P246" si="15">N195*O195</f>
        <v>2400</v>
      </c>
      <c r="Q195" s="1">
        <f t="shared" ref="Q195:Q246" si="16">IF(P195&gt;2000,P195*0.05,0)</f>
        <v>120</v>
      </c>
      <c r="R195" s="1">
        <f>P195+Q195</f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25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4000</v>
      </c>
      <c r="Q196" s="1">
        <f t="shared" si="16"/>
        <v>200</v>
      </c>
      <c r="R196" s="1">
        <f>P196+Q196</f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25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2400</v>
      </c>
      <c r="Q197" s="1">
        <f t="shared" si="16"/>
        <v>120</v>
      </c>
      <c r="R197" s="1">
        <f>P197+Q197</f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25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1500</v>
      </c>
      <c r="Q198" s="1">
        <f t="shared" si="16"/>
        <v>0</v>
      </c>
      <c r="R198" s="1">
        <f>P198+Q198</f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25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2500</v>
      </c>
      <c r="Q199" s="1">
        <f t="shared" si="16"/>
        <v>125</v>
      </c>
      <c r="R199" s="1">
        <f>P199+Q199</f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25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1500</v>
      </c>
      <c r="Q200" s="1">
        <f t="shared" si="16"/>
        <v>0</v>
      </c>
      <c r="R200" s="1">
        <f>P200+Q200</f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25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5400</v>
      </c>
      <c r="Q201" s="1">
        <f t="shared" si="16"/>
        <v>270</v>
      </c>
      <c r="R201" s="1">
        <f>P201+Q201</f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25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5100</v>
      </c>
      <c r="Q202" s="1">
        <f t="shared" si="16"/>
        <v>255</v>
      </c>
      <c r="R202" s="1">
        <f>P202+Q202</f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25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5400</v>
      </c>
      <c r="Q203" s="1">
        <f t="shared" si="16"/>
        <v>270</v>
      </c>
      <c r="R203" s="1">
        <f>P203+Q203</f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25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2100</v>
      </c>
      <c r="Q204" s="1">
        <f t="shared" si="16"/>
        <v>105</v>
      </c>
      <c r="R204" s="1">
        <f>P204+Q204</f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25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2100</v>
      </c>
      <c r="Q205" s="1">
        <f t="shared" si="16"/>
        <v>105</v>
      </c>
      <c r="R205" s="1">
        <f>P205+Q205</f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25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2100</v>
      </c>
      <c r="Q206" s="1">
        <f t="shared" si="16"/>
        <v>105</v>
      </c>
      <c r="R206" s="1">
        <f>P206+Q206</f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25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2600</v>
      </c>
      <c r="Q207" s="1">
        <f t="shared" si="16"/>
        <v>130</v>
      </c>
      <c r="R207" s="1">
        <f>P207+Q207</f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25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3000</v>
      </c>
      <c r="Q208" s="1">
        <f t="shared" si="16"/>
        <v>150</v>
      </c>
      <c r="R208" s="1">
        <f>P208+Q208</f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25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2600</v>
      </c>
      <c r="Q209" s="1">
        <f t="shared" si="16"/>
        <v>130</v>
      </c>
      <c r="R209" s="1">
        <f>P209+Q209</f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25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1600</v>
      </c>
      <c r="Q210" s="1">
        <f t="shared" si="16"/>
        <v>0</v>
      </c>
      <c r="R210" s="1">
        <f>P210+Q210</f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25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1800</v>
      </c>
      <c r="Q211" s="1">
        <f t="shared" si="16"/>
        <v>0</v>
      </c>
      <c r="R211" s="1">
        <f>P211+Q211</f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25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1600</v>
      </c>
      <c r="Q212" s="1">
        <f t="shared" si="16"/>
        <v>0</v>
      </c>
      <c r="R212" s="1">
        <f>P212+Q212</f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25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4400</v>
      </c>
      <c r="Q213" s="1">
        <f t="shared" si="16"/>
        <v>220</v>
      </c>
      <c r="R213" s="1">
        <f>P213+Q213</f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25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6400</v>
      </c>
      <c r="Q214" s="1">
        <f t="shared" si="16"/>
        <v>320</v>
      </c>
      <c r="R214" s="1">
        <f>P214+Q214</f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25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4400</v>
      </c>
      <c r="Q215" s="1">
        <f t="shared" si="16"/>
        <v>220</v>
      </c>
      <c r="R215" s="1">
        <f>P215+Q215</f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25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2500</v>
      </c>
      <c r="Q216" s="1">
        <f t="shared" si="16"/>
        <v>125</v>
      </c>
      <c r="R216" s="1">
        <f>P216+Q216</f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25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3700</v>
      </c>
      <c r="Q217" s="1">
        <f t="shared" si="16"/>
        <v>185</v>
      </c>
      <c r="R217" s="1">
        <f>P217+Q217</f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25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2500</v>
      </c>
      <c r="Q218" s="1">
        <f t="shared" si="16"/>
        <v>125</v>
      </c>
      <c r="R218" s="1">
        <f>P218+Q218</f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25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2600</v>
      </c>
      <c r="Q219" s="1">
        <f t="shared" si="16"/>
        <v>130</v>
      </c>
      <c r="R219" s="1">
        <f>P219+Q219</f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25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2600</v>
      </c>
      <c r="Q220" s="1">
        <f t="shared" si="16"/>
        <v>130</v>
      </c>
      <c r="R220" s="1">
        <f>P220+Q220</f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25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1600</v>
      </c>
      <c r="Q221" s="1">
        <f t="shared" si="16"/>
        <v>0</v>
      </c>
      <c r="R221" s="1">
        <f>P221+Q221</f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25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1600</v>
      </c>
      <c r="Q222" s="1">
        <f t="shared" si="16"/>
        <v>0</v>
      </c>
      <c r="R222" s="1">
        <f>P222+Q222</f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25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5700</v>
      </c>
      <c r="Q223" s="1">
        <f t="shared" si="16"/>
        <v>285</v>
      </c>
      <c r="R223" s="1">
        <f>P223+Q223</f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25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5700</v>
      </c>
      <c r="Q224" s="1">
        <f t="shared" si="16"/>
        <v>285</v>
      </c>
      <c r="R224" s="1">
        <f>P224+Q224</f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25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2200</v>
      </c>
      <c r="Q225" s="1">
        <f t="shared" si="16"/>
        <v>110</v>
      </c>
      <c r="R225" s="1">
        <f>P225+Q225</f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25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2200</v>
      </c>
      <c r="Q226" s="1">
        <f t="shared" si="16"/>
        <v>110</v>
      </c>
      <c r="R226" s="1">
        <f>P226+Q226</f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25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4000</v>
      </c>
      <c r="Q227" s="1">
        <f t="shared" si="16"/>
        <v>200</v>
      </c>
      <c r="R227" s="1">
        <f>P227+Q227</f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25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2300</v>
      </c>
      <c r="Q228" s="1">
        <f t="shared" si="16"/>
        <v>115</v>
      </c>
      <c r="R228" s="1">
        <f>P228+Q228</f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25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6000</v>
      </c>
      <c r="Q229" s="1">
        <f t="shared" si="16"/>
        <v>300</v>
      </c>
      <c r="R229" s="1">
        <f>P229+Q229</f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25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3500</v>
      </c>
      <c r="Q230" s="1">
        <f t="shared" si="16"/>
        <v>175</v>
      </c>
      <c r="R230" s="1">
        <f>P230+Q230</f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25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2200</v>
      </c>
      <c r="Q231" s="1">
        <f t="shared" si="16"/>
        <v>110</v>
      </c>
      <c r="R231" s="1">
        <f>P231+Q231</f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25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2200</v>
      </c>
      <c r="Q232" s="1">
        <f t="shared" si="16"/>
        <v>110</v>
      </c>
      <c r="R232" s="1">
        <f>P232+Q232</f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25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1400</v>
      </c>
      <c r="Q233" s="1">
        <f t="shared" si="16"/>
        <v>0</v>
      </c>
      <c r="R233" s="1">
        <f>P233+Q233</f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25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1400</v>
      </c>
      <c r="Q234" s="1">
        <f t="shared" si="16"/>
        <v>0</v>
      </c>
      <c r="R234" s="1">
        <f>P234+Q234</f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25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5100</v>
      </c>
      <c r="Q235" s="1">
        <f t="shared" si="16"/>
        <v>255</v>
      </c>
      <c r="R235" s="1">
        <f>P235+Q235</f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25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5100</v>
      </c>
      <c r="Q236" s="1">
        <f t="shared" si="16"/>
        <v>255</v>
      </c>
      <c r="R236" s="1">
        <f>P236+Q236</f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25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2000</v>
      </c>
      <c r="Q237" s="1">
        <f t="shared" si="16"/>
        <v>0</v>
      </c>
      <c r="R237" s="1">
        <f>P237+Q237</f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25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2000</v>
      </c>
      <c r="Q238" s="1">
        <f t="shared" si="16"/>
        <v>0</v>
      </c>
      <c r="R238" s="1">
        <f>P238+Q238</f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25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3000</v>
      </c>
      <c r="Q239" s="1">
        <f t="shared" si="16"/>
        <v>150</v>
      </c>
      <c r="R239" s="1">
        <f>P239+Q239</f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25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3000</v>
      </c>
      <c r="Q240" s="1">
        <f t="shared" si="16"/>
        <v>150</v>
      </c>
      <c r="R240" s="1">
        <f>P240+Q240</f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25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1800</v>
      </c>
      <c r="Q241" s="1">
        <f t="shared" si="16"/>
        <v>0</v>
      </c>
      <c r="R241" s="1">
        <f>P241+Q241</f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25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1800</v>
      </c>
      <c r="Q242" s="1">
        <f t="shared" si="16"/>
        <v>0</v>
      </c>
      <c r="R242" s="1">
        <f>P242+Q242</f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25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4600</v>
      </c>
      <c r="Q243" s="1">
        <f t="shared" si="16"/>
        <v>230</v>
      </c>
      <c r="R243" s="1">
        <f>P243+Q243</f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25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4600</v>
      </c>
      <c r="Q244" s="1">
        <f t="shared" si="16"/>
        <v>230</v>
      </c>
      <c r="R244" s="1">
        <f>P244+Q244</f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25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1600</v>
      </c>
      <c r="Q245" s="1">
        <f t="shared" si="16"/>
        <v>0</v>
      </c>
      <c r="R245" s="1">
        <f>P245+Q245</f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25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2600</v>
      </c>
      <c r="Q246" s="1">
        <f t="shared" si="16"/>
        <v>130</v>
      </c>
      <c r="R246" s="1">
        <f>P246+Q246</f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autoFilter ref="F1:Y246" xr:uid="{07036599-DE44-45AC-9B55-C58B476BC346}"/>
  <sortState xmlns:xlrd2="http://schemas.microsoft.com/office/spreadsheetml/2017/richdata2"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User</cp:lastModifiedBy>
  <cp:revision/>
  <dcterms:created xsi:type="dcterms:W3CDTF">2023-05-23T18:13:08Z</dcterms:created>
  <dcterms:modified xsi:type="dcterms:W3CDTF">2026-02-11T15:02:54Z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